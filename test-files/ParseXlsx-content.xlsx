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ed\001_Repos\AutoHotkey-LibV2\test-files\"/>
    </mc:Choice>
  </mc:AlternateContent>
  <xr:revisionPtr revIDLastSave="0" documentId="13_ncr:1_{7735E489-7A05-42D3-B07B-EDAA28F4CC20}" xr6:coauthVersionLast="47" xr6:coauthVersionMax="47" xr10:uidLastSave="{00000000-0000-0000-0000-000000000000}"/>
  <bookViews>
    <workbookView xWindow="17040" yWindow="-13845" windowWidth="21600" windowHeight="11295" activeTab="2" xr2:uid="{D45422F7-5CBF-4503-A98C-436CB67D938F}"/>
  </bookViews>
  <sheets>
    <sheet name="table" sheetId="2" r:id="rId1"/>
    <sheet name="Sheet1" sheetId="1" r:id="rId2"/>
    <sheet name="two_blocks" sheetId="4" r:id="rId3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" i="4" l="1"/>
  <c r="J6" i="4"/>
  <c r="J6" i="1"/>
  <c r="J6" i="2"/>
  <c r="U22" i="4"/>
  <c r="R22" i="4"/>
  <c r="P22" i="4"/>
  <c r="H8" i="4"/>
  <c r="E8" i="4"/>
  <c r="C8" i="4"/>
  <c r="H8" i="2"/>
  <c r="E8" i="2"/>
  <c r="C8" i="2"/>
  <c r="H8" i="1"/>
  <c r="E8" i="1"/>
  <c r="C8" i="1"/>
</calcChain>
</file>

<file path=xl/sharedStrings.xml><?xml version="1.0" encoding="utf-8"?>
<sst xmlns="http://schemas.openxmlformats.org/spreadsheetml/2006/main" count="135" uniqueCount="36">
  <si>
    <t>date</t>
  </si>
  <si>
    <t>amount</t>
  </si>
  <si>
    <t>name</t>
  </si>
  <si>
    <t>Topanga</t>
  </si>
  <si>
    <t>Shiraishi</t>
  </si>
  <si>
    <t>Nico</t>
  </si>
  <si>
    <t>Al</t>
  </si>
  <si>
    <t>Futami</t>
  </si>
  <si>
    <t>block</t>
  </si>
  <si>
    <t>time</t>
  </si>
  <si>
    <t>percentage</t>
  </si>
  <si>
    <t>special</t>
  </si>
  <si>
    <t>general</t>
  </si>
  <si>
    <t>test</t>
  </si>
  <si>
    <t>&lt;si&gt;&lt;t&gt;</t>
  </si>
  <si>
    <t>&lt;/t&gt;&lt;/si&gt;&lt;si&gt;&lt;t&gt;</t>
  </si>
  <si>
    <t>&lt;/t&gt;&lt;/si&gt;&lt;/sst&gt;</t>
  </si>
  <si>
    <t>"red"</t>
  </si>
  <si>
    <t>"green"</t>
  </si>
  <si>
    <t>"blue"</t>
  </si>
  <si>
    <t>"yellow"</t>
  </si>
  <si>
    <t>"teal"</t>
  </si>
  <si>
    <t>,</t>
  </si>
  <si>
    <t>test2</t>
  </si>
  <si>
    <t>"</t>
  </si>
  <si>
    <t>'</t>
  </si>
  <si>
    <t>¢</t>
  </si>
  <si>
    <t>£</t>
  </si>
  <si>
    <t>test3</t>
  </si>
  <si>
    <t>©</t>
  </si>
  <si>
    <t>®</t>
  </si>
  <si>
    <t>™</t>
  </si>
  <si>
    <t>&amp;</t>
  </si>
  <si>
    <t>Sheet1</t>
  </si>
  <si>
    <t>Sheet2</t>
  </si>
  <si>
    <t>Sheet3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</si>
</sst>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h:mm:ss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165" fontId="0" fillId="0" borderId="0" xfId="0" applyNumberFormat="1"/>
    <xf numFmtId="10" fontId="0" fillId="0" borderId="0" xfId="0" applyNumberFormat="1"/>
    <xf numFmtId="44" fontId="0" fillId="0" borderId="0" xfId="0" applyNumberFormat="1"/>
    <xf numFmtId="14" fontId="0" fillId="0" borderId="0" xfId="0" applyNumberFormat="1" applyAlignment="1">
      <alignment horizontal="left" vertical="top" indent="1"/>
    </xf>
    <xf numFmtId="164" fontId="0" fillId="0" borderId="0" xfId="0" applyNumberFormat="1" applyAlignment="1">
      <alignment horizontal="left" vertical="top" indent="1"/>
    </xf>
    <xf numFmtId="49" fontId="0" fillId="0" borderId="0" xfId="0" applyNumberFormat="1" applyAlignment="1">
      <alignment horizontal="left" vertical="top" indent="1"/>
    </xf>
    <xf numFmtId="1" fontId="0" fillId="0" borderId="0" xfId="0" applyNumberFormat="1" applyAlignment="1">
      <alignment horizontal="left" vertical="top" indent="1"/>
    </xf>
    <xf numFmtId="165" fontId="0" fillId="0" borderId="0" xfId="0" applyNumberFormat="1" applyAlignment="1">
      <alignment horizontal="left" vertical="top" indent="1"/>
    </xf>
    <xf numFmtId="10" fontId="0" fillId="0" borderId="0" xfId="0" applyNumberFormat="1" applyAlignment="1">
      <alignment horizontal="left" vertical="top" indent="1"/>
    </xf>
    <xf numFmtId="44" fontId="0" fillId="0" borderId="0" xfId="0" applyNumberFormat="1" applyAlignment="1">
      <alignment horizontal="left" vertical="top" indent="1"/>
    </xf>
    <xf numFmtId="0" fontId="0" fillId="0" borderId="0" xfId="0" applyAlignment="1">
      <alignment horizontal="left" vertical="top" indent="1"/>
    </xf>
    <xf numFmtId="49" fontId="0" fillId="0" borderId="0" xfId="0" quotePrefix="1" applyNumberFormat="1"/>
    <xf numFmtId="49" fontId="0" fillId="0" borderId="0" xfId="0" quotePrefix="1" applyNumberFormat="1" applyAlignment="1">
      <alignment horizontal="left" vertical="top" indent="1"/>
    </xf>
  </cellXfs>
  <cellStyles count="1">
    <cellStyle name="Normal" xfId="0" builtinId="0"/>
  </cellStyles>
  <dxfs count="12">
    <dxf>
      <alignment horizontal="left" vertical="top" textRotation="0" wrapText="0" relativeIndent="1" justifyLastLine="0" shrinkToFit="0" readingOrder="0"/>
    </dxf>
    <dxf>
      <alignment horizontal="left" vertical="top" textRotation="0" wrapText="0" relativeIndent="1" justifyLastLine="0" shrinkToFit="0" readingOrder="0"/>
    </dxf>
    <dxf>
      <alignment horizontal="left" vertical="top" textRotation="0" wrapText="0" relativeIndent="1" justifyLastLine="0" shrinkToFit="0" readingOrder="0"/>
    </dxf>
    <dxf>
      <numFmt numFmtId="0" formatCode="General"/>
      <alignment horizontal="left" vertical="top" textRotation="0" wrapText="0" relativeIndent="1" justifyLastLine="0" shrinkToFit="0" readingOrder="0"/>
    </dxf>
    <dxf>
      <numFmt numFmtId="34" formatCode="_(&quot;$&quot;* #,##0.00_);_(&quot;$&quot;* \(#,##0.00\);_(&quot;$&quot;* &quot;-&quot;??_);_(@_)"/>
      <alignment horizontal="left" vertical="top" textRotation="0" wrapText="0" relativeIndent="1" justifyLastLine="0" shrinkToFit="0" readingOrder="0"/>
    </dxf>
    <dxf>
      <numFmt numFmtId="14" formatCode="0.00%"/>
      <alignment horizontal="left" vertical="top" textRotation="0" wrapText="0" relativeIndent="1" justifyLastLine="0" shrinkToFit="0" readingOrder="0"/>
    </dxf>
    <dxf>
      <numFmt numFmtId="165" formatCode="h:mm:ss;@"/>
      <alignment horizontal="left" vertical="top" textRotation="0" wrapText="0" relativeIndent="1" justifyLastLine="0" shrinkToFit="0" readingOrder="0"/>
    </dxf>
    <dxf>
      <numFmt numFmtId="1" formatCode="0"/>
      <alignment horizontal="left" vertical="top" textRotation="0" wrapText="0" relativeIndent="1" justifyLastLine="0" shrinkToFit="0" readingOrder="0"/>
    </dxf>
    <dxf>
      <numFmt numFmtId="30" formatCode="@"/>
      <alignment horizontal="left" vertical="top" textRotation="0" wrapText="0" relativeIndent="1" justifyLastLine="0" shrinkToFit="0" readingOrder="0"/>
    </dxf>
    <dxf>
      <numFmt numFmtId="164" formatCode="&quot;$&quot;#,##0.00"/>
      <alignment horizontal="left" vertical="top" textRotation="0" wrapText="0" relativeIndent="1" justifyLastLine="0" shrinkToFit="0" readingOrder="0"/>
    </dxf>
    <dxf>
      <numFmt numFmtId="19" formatCode="m/d/yyyy"/>
      <alignment horizontal="left" vertical="top" textRotation="0" wrapText="0" relativeIndent="1" justifyLastLine="0" shrinkToFit="0" readingOrder="0"/>
    </dxf>
    <dxf>
      <alignment horizontal="left" vertical="top" textRotation="0" wrapText="0" relative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1A5B8B-9D84-4EB1-B84F-8AB4DFC58C9A}" name="Table1" displayName="Table1" ref="B1:L6" totalsRowShown="0" dataDxfId="11">
  <autoFilter ref="B1:L6" xr:uid="{991A5B8B-9D84-4EB1-B84F-8AB4DFC58C9A}"/>
  <tableColumns count="11">
    <tableColumn id="1" xr3:uid="{42F71F13-735E-41A2-90B6-8320CF536826}" name="date" dataDxfId="10"/>
    <tableColumn id="2" xr3:uid="{B5C72661-113A-4DFE-BB62-47CC0A3A6352}" name="amount" dataDxfId="9"/>
    <tableColumn id="3" xr3:uid="{4C943B17-0AE9-46E4-A80B-7D2ACCBA7866}" name="name" dataDxfId="8"/>
    <tableColumn id="4" xr3:uid="{4EF0B67A-48D2-4ED4-B49B-12E4D89A0E65}" name="block" dataDxfId="7"/>
    <tableColumn id="5" xr3:uid="{832759B5-CD76-4E7C-8C38-64205DA51E7F}" name="time" dataDxfId="6"/>
    <tableColumn id="6" xr3:uid="{B2DE6898-890E-4FC6-B132-A8AA5F84716E}" name="percentage" dataDxfId="5"/>
    <tableColumn id="7" xr3:uid="{C5593E5B-5F97-4F1A-8A2C-1B6EB216269B}" name="special" dataDxfId="4"/>
    <tableColumn id="8" xr3:uid="{5A753C45-3FDC-4957-8F7D-EAC5B0AB649A}" name="general" dataDxfId="3"/>
    <tableColumn id="9" xr3:uid="{381F8819-D763-4100-B631-63F01CDC555C}" name="test" dataDxfId="2"/>
    <tableColumn id="10" xr3:uid="{07AFC85B-B555-4F21-AAA3-BC0CFAD60D15}" name="test2" dataDxfId="1"/>
    <tableColumn id="11" xr3:uid="{ACFD11C0-51D1-41DE-823E-F0B53C3041A7}" name="test3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1A081-1228-4415-AAA1-DFA6F2B8B849}">
  <dimension ref="A1:L8"/>
  <sheetViews>
    <sheetView workbookViewId="0">
      <selection activeCell="J6" sqref="J6"/>
    </sheetView>
  </sheetViews>
  <sheetFormatPr defaultRowHeight="15" x14ac:dyDescent="0.25"/>
  <cols>
    <col min="2" max="2" width="3.7109375" bestFit="1" customWidth="1"/>
    <col min="3" max="3" width="9.28515625" customWidth="1"/>
    <col min="4" max="4" width="5.140625" bestFit="1" customWidth="1"/>
    <col min="5" max="5" width="4.28515625" bestFit="1" customWidth="1"/>
    <col min="6" max="6" width="9.42578125" bestFit="1" customWidth="1"/>
    <col min="7" max="7" width="6.85546875" bestFit="1" customWidth="1"/>
    <col min="8" max="8" width="13.7109375" customWidth="1"/>
    <col min="9" max="9" width="5.140625" bestFit="1" customWidth="1"/>
    <col min="10" max="10" width="8.140625" bestFit="1" customWidth="1"/>
    <col min="11" max="12" width="4" bestFit="1" customWidth="1"/>
  </cols>
  <sheetData>
    <row r="1" spans="1:12" x14ac:dyDescent="0.25">
      <c r="A1" t="s">
        <v>33</v>
      </c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23</v>
      </c>
      <c r="L1" t="s">
        <v>28</v>
      </c>
    </row>
    <row r="2" spans="1:12" x14ac:dyDescent="0.25">
      <c r="B2" s="8">
        <v>46002</v>
      </c>
      <c r="C2" s="9">
        <v>100</v>
      </c>
      <c r="D2" s="10" t="s">
        <v>3</v>
      </c>
      <c r="E2" s="11">
        <v>16</v>
      </c>
      <c r="F2" s="12">
        <v>0.57638888888888884</v>
      </c>
      <c r="G2" s="13">
        <v>0.5</v>
      </c>
      <c r="H2" s="14">
        <v>3255</v>
      </c>
      <c r="I2" s="15" t="s">
        <v>17</v>
      </c>
      <c r="J2" s="15" t="s">
        <v>14</v>
      </c>
      <c r="K2" s="10" t="s">
        <v>24</v>
      </c>
      <c r="L2" s="15" t="s">
        <v>29</v>
      </c>
    </row>
    <row r="3" spans="1:12" x14ac:dyDescent="0.25">
      <c r="B3" s="8">
        <v>46001</v>
      </c>
      <c r="C3" s="9">
        <v>100.5</v>
      </c>
      <c r="D3" s="10" t="s">
        <v>4</v>
      </c>
      <c r="E3" s="11">
        <v>3</v>
      </c>
      <c r="F3" s="12">
        <v>0.60555555555555551</v>
      </c>
      <c r="G3" s="13">
        <v>0.22900000000000001</v>
      </c>
      <c r="H3" s="14">
        <v>2342341</v>
      </c>
      <c r="I3" s="15" t="s">
        <v>18</v>
      </c>
      <c r="J3" s="15" t="s">
        <v>15</v>
      </c>
      <c r="K3" s="17" t="s">
        <v>25</v>
      </c>
      <c r="L3" s="15" t="s">
        <v>30</v>
      </c>
    </row>
    <row r="4" spans="1:12" x14ac:dyDescent="0.25">
      <c r="B4" s="8">
        <v>46000</v>
      </c>
      <c r="C4" s="9">
        <v>200</v>
      </c>
      <c r="D4" s="10" t="s">
        <v>5</v>
      </c>
      <c r="E4" s="11">
        <v>29</v>
      </c>
      <c r="F4" s="12">
        <v>0.35347222222222224</v>
      </c>
      <c r="G4" s="13">
        <v>0.64200000000000002</v>
      </c>
      <c r="H4" s="14">
        <v>4324</v>
      </c>
      <c r="I4" s="15" t="s">
        <v>19</v>
      </c>
      <c r="J4" s="15" t="s">
        <v>16</v>
      </c>
      <c r="K4" s="10" t="s">
        <v>26</v>
      </c>
      <c r="L4" s="15" t="s">
        <v>31</v>
      </c>
    </row>
    <row r="5" spans="1:12" x14ac:dyDescent="0.25">
      <c r="B5" s="8">
        <v>45999</v>
      </c>
      <c r="C5" s="9">
        <v>190.75</v>
      </c>
      <c r="D5" s="10" t="s">
        <v>6</v>
      </c>
      <c r="E5" s="11">
        <v>7</v>
      </c>
      <c r="F5" s="12">
        <v>0.25347222222222221</v>
      </c>
      <c r="G5" s="13">
        <v>0.88900000000000001</v>
      </c>
      <c r="H5" s="14">
        <v>43</v>
      </c>
      <c r="I5" s="15" t="s">
        <v>20</v>
      </c>
      <c r="J5" s="15" t="s">
        <v>22</v>
      </c>
      <c r="K5" s="10" t="s">
        <v>27</v>
      </c>
      <c r="L5" s="15" t="s">
        <v>32</v>
      </c>
    </row>
    <row r="6" spans="1:12" x14ac:dyDescent="0.25">
      <c r="B6" s="8">
        <v>45998</v>
      </c>
      <c r="C6" s="9">
        <v>210</v>
      </c>
      <c r="D6" s="10" t="s">
        <v>7</v>
      </c>
      <c r="E6" s="11">
        <v>33</v>
      </c>
      <c r="F6" s="12">
        <v>0.92500000000000004</v>
      </c>
      <c r="G6" s="13">
        <v>10</v>
      </c>
      <c r="H6" s="14">
        <v>0</v>
      </c>
      <c r="I6" s="15" t="s">
        <v>21</v>
      </c>
      <c r="J6" s="15" t="str">
        <f>CHAR(10)</f>
        <v xml:space="preserve">
</v>
      </c>
      <c r="K6" s="15"/>
      <c r="L6" s="15"/>
    </row>
    <row r="8" spans="1:12" x14ac:dyDescent="0.25">
      <c r="C8" s="2">
        <f>SUM(C2:C6)</f>
        <v>801.25</v>
      </c>
      <c r="E8" s="3">
        <f>SUM(E2:E6)</f>
        <v>88</v>
      </c>
      <c r="H8" s="2">
        <f>SUM(H2:H6)</f>
        <v>2349963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94696-CE34-49D9-8C84-D32949F37B04}">
  <dimension ref="A1:L8"/>
  <sheetViews>
    <sheetView workbookViewId="0">
      <selection activeCell="J7" sqref="J7"/>
    </sheetView>
  </sheetViews>
  <sheetFormatPr defaultRowHeight="15" x14ac:dyDescent="0.25"/>
  <cols>
    <col min="2" max="2" width="10.42578125" bestFit="1" customWidth="1"/>
    <col min="8" max="8" width="14.28515625" bestFit="1" customWidth="1"/>
  </cols>
  <sheetData>
    <row r="1" spans="1:12" x14ac:dyDescent="0.25">
      <c r="A1" t="s">
        <v>34</v>
      </c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23</v>
      </c>
      <c r="L1" t="s">
        <v>28</v>
      </c>
    </row>
    <row r="2" spans="1:12" x14ac:dyDescent="0.25">
      <c r="B2" s="1">
        <v>46002</v>
      </c>
      <c r="C2" s="2">
        <v>100</v>
      </c>
      <c r="D2" s="4" t="s">
        <v>3</v>
      </c>
      <c r="E2" s="3">
        <v>16</v>
      </c>
      <c r="F2" s="5">
        <v>0.57638888888888884</v>
      </c>
      <c r="G2" s="6">
        <v>0.5</v>
      </c>
      <c r="H2" s="7">
        <v>3255</v>
      </c>
      <c r="I2" t="s">
        <v>17</v>
      </c>
      <c r="J2" t="s">
        <v>14</v>
      </c>
      <c r="K2" s="4" t="s">
        <v>24</v>
      </c>
      <c r="L2" t="s">
        <v>29</v>
      </c>
    </row>
    <row r="3" spans="1:12" x14ac:dyDescent="0.25">
      <c r="B3" s="1">
        <v>46001</v>
      </c>
      <c r="C3" s="2">
        <v>100.5</v>
      </c>
      <c r="D3" s="4" t="s">
        <v>4</v>
      </c>
      <c r="E3" s="3">
        <v>3</v>
      </c>
      <c r="F3" s="5">
        <v>0.60555555555555551</v>
      </c>
      <c r="G3" s="6">
        <v>0.22900000000000001</v>
      </c>
      <c r="H3" s="7">
        <v>2342341</v>
      </c>
      <c r="I3" t="s">
        <v>18</v>
      </c>
      <c r="J3" t="s">
        <v>15</v>
      </c>
      <c r="K3" s="16" t="s">
        <v>25</v>
      </c>
      <c r="L3" t="s">
        <v>30</v>
      </c>
    </row>
    <row r="4" spans="1:12" x14ac:dyDescent="0.25">
      <c r="B4" s="1">
        <v>46000</v>
      </c>
      <c r="C4" s="2">
        <v>200</v>
      </c>
      <c r="D4" s="4" t="s">
        <v>5</v>
      </c>
      <c r="E4" s="3">
        <v>29</v>
      </c>
      <c r="F4" s="5">
        <v>0.35347222222222224</v>
      </c>
      <c r="G4" s="6">
        <v>0.64200000000000002</v>
      </c>
      <c r="H4" s="7">
        <v>4324</v>
      </c>
      <c r="I4" t="s">
        <v>19</v>
      </c>
      <c r="J4" t="s">
        <v>16</v>
      </c>
      <c r="K4" s="4" t="s">
        <v>26</v>
      </c>
      <c r="L4" t="s">
        <v>31</v>
      </c>
    </row>
    <row r="5" spans="1:12" x14ac:dyDescent="0.25">
      <c r="B5" s="1">
        <v>45999</v>
      </c>
      <c r="C5" s="2">
        <v>190.75</v>
      </c>
      <c r="D5" s="4" t="s">
        <v>6</v>
      </c>
      <c r="E5" s="3">
        <v>7</v>
      </c>
      <c r="F5" s="5">
        <v>0.25347222222222221</v>
      </c>
      <c r="G5" s="6">
        <v>0.88900000000000001</v>
      </c>
      <c r="H5" s="7">
        <v>43</v>
      </c>
      <c r="I5" t="s">
        <v>20</v>
      </c>
      <c r="J5" t="s">
        <v>22</v>
      </c>
      <c r="K5" s="4" t="s">
        <v>27</v>
      </c>
      <c r="L5" t="s">
        <v>32</v>
      </c>
    </row>
    <row r="6" spans="1:12" x14ac:dyDescent="0.25">
      <c r="B6" s="1">
        <v>45998</v>
      </c>
      <c r="C6" s="2">
        <v>210</v>
      </c>
      <c r="D6" s="4" t="s">
        <v>7</v>
      </c>
      <c r="E6" s="3">
        <v>33</v>
      </c>
      <c r="F6" s="5">
        <v>0.92500000000000004</v>
      </c>
      <c r="G6" s="6">
        <v>10</v>
      </c>
      <c r="H6" s="7">
        <v>0</v>
      </c>
      <c r="I6" t="s">
        <v>21</v>
      </c>
      <c r="J6" t="str">
        <f>CHAR(10)</f>
        <v xml:space="preserve">
</v>
      </c>
    </row>
    <row r="8" spans="1:12" x14ac:dyDescent="0.25">
      <c r="C8" s="2">
        <f>SUM(C2:C6)</f>
        <v>801.25</v>
      </c>
      <c r="E8" s="3">
        <f>SUM(E2:E6)</f>
        <v>88</v>
      </c>
      <c r="H8" s="2">
        <f>SUM(H2:H6)</f>
        <v>2349963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1EEC-D384-4517-8007-A015ECB677F0}">
  <dimension ref="A1:Y22"/>
  <sheetViews>
    <sheetView tabSelected="1" topLeftCell="F4" workbookViewId="0">
      <selection activeCell="W21" sqref="W21"/>
    </sheetView>
  </sheetViews>
  <sheetFormatPr defaultRowHeight="15" x14ac:dyDescent="0.25"/>
  <cols>
    <col min="2" max="2" width="10.42578125" bestFit="1" customWidth="1"/>
    <col min="8" max="8" width="14.28515625" bestFit="1" customWidth="1"/>
  </cols>
  <sheetData>
    <row r="1" spans="1:25" x14ac:dyDescent="0.25">
      <c r="A1" t="s">
        <v>35</v>
      </c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23</v>
      </c>
      <c r="L1" t="s">
        <v>28</v>
      </c>
    </row>
    <row r="2" spans="1:25" x14ac:dyDescent="0.25">
      <c r="B2" s="1">
        <v>46002</v>
      </c>
      <c r="C2" s="2">
        <v>100</v>
      </c>
      <c r="D2" s="4" t="s">
        <v>3</v>
      </c>
      <c r="E2" s="3">
        <v>16</v>
      </c>
      <c r="F2" s="5">
        <v>0.57638888888888884</v>
      </c>
      <c r="G2" s="6">
        <v>0.5</v>
      </c>
      <c r="H2" s="7">
        <v>3255</v>
      </c>
      <c r="I2" t="s">
        <v>17</v>
      </c>
      <c r="J2" t="s">
        <v>14</v>
      </c>
      <c r="K2" s="4" t="s">
        <v>24</v>
      </c>
      <c r="L2" t="s">
        <v>29</v>
      </c>
    </row>
    <row r="3" spans="1:25" x14ac:dyDescent="0.25">
      <c r="B3" s="1">
        <v>46001</v>
      </c>
      <c r="C3" s="2">
        <v>100.5</v>
      </c>
      <c r="D3" s="4" t="s">
        <v>4</v>
      </c>
      <c r="E3" s="3">
        <v>3</v>
      </c>
      <c r="F3" s="5">
        <v>0.60555555555555551</v>
      </c>
      <c r="G3" s="6">
        <v>0.22900000000000001</v>
      </c>
      <c r="H3" s="7">
        <v>2342341</v>
      </c>
      <c r="I3" t="s">
        <v>18</v>
      </c>
      <c r="J3" t="s">
        <v>15</v>
      </c>
      <c r="K3" s="16" t="s">
        <v>25</v>
      </c>
      <c r="L3" t="s">
        <v>30</v>
      </c>
    </row>
    <row r="4" spans="1:25" x14ac:dyDescent="0.25">
      <c r="B4" s="1">
        <v>46000</v>
      </c>
      <c r="C4" s="2">
        <v>200</v>
      </c>
      <c r="D4" s="4" t="s">
        <v>5</v>
      </c>
      <c r="E4" s="3">
        <v>29</v>
      </c>
      <c r="F4" s="5">
        <v>0.35347222222222224</v>
      </c>
      <c r="G4" s="6">
        <v>0.64200000000000002</v>
      </c>
      <c r="H4" s="7">
        <v>4324</v>
      </c>
      <c r="I4" t="s">
        <v>19</v>
      </c>
      <c r="J4" t="s">
        <v>16</v>
      </c>
      <c r="K4" s="4" t="s">
        <v>26</v>
      </c>
      <c r="L4" t="s">
        <v>31</v>
      </c>
    </row>
    <row r="5" spans="1:25" x14ac:dyDescent="0.25">
      <c r="B5" s="1">
        <v>45999</v>
      </c>
      <c r="C5" s="2">
        <v>190.75</v>
      </c>
      <c r="D5" s="4" t="s">
        <v>6</v>
      </c>
      <c r="E5" s="3">
        <v>7</v>
      </c>
      <c r="F5" s="5">
        <v>0.25347222222222221</v>
      </c>
      <c r="G5" s="6">
        <v>0.88900000000000001</v>
      </c>
      <c r="H5" s="7">
        <v>43</v>
      </c>
      <c r="I5" t="s">
        <v>20</v>
      </c>
      <c r="J5" t="s">
        <v>22</v>
      </c>
      <c r="K5" s="4" t="s">
        <v>27</v>
      </c>
      <c r="L5" t="s">
        <v>32</v>
      </c>
    </row>
    <row r="6" spans="1:25" x14ac:dyDescent="0.25">
      <c r="B6" s="1">
        <v>45998</v>
      </c>
      <c r="C6" s="2">
        <v>210</v>
      </c>
      <c r="D6" s="4" t="s">
        <v>7</v>
      </c>
      <c r="E6" s="3">
        <v>33</v>
      </c>
      <c r="F6" s="5">
        <v>0.92500000000000004</v>
      </c>
      <c r="G6" s="6">
        <v>10</v>
      </c>
      <c r="H6" s="7">
        <v>0</v>
      </c>
      <c r="I6" t="s">
        <v>21</v>
      </c>
      <c r="J6" t="str">
        <f>CHAR(10)</f>
        <v xml:space="preserve">
</v>
      </c>
      <c r="K6" s="4"/>
    </row>
    <row r="8" spans="1:25" x14ac:dyDescent="0.25">
      <c r="C8" s="2">
        <f>SUM(C2:C6)</f>
        <v>801.25</v>
      </c>
      <c r="E8" s="3">
        <f>SUM(E2:E6)</f>
        <v>88</v>
      </c>
      <c r="H8" s="2">
        <f>SUM(H2:H6)</f>
        <v>2349963</v>
      </c>
    </row>
    <row r="15" spans="1:25" x14ac:dyDescent="0.25">
      <c r="O15" t="s">
        <v>0</v>
      </c>
      <c r="P15" t="s">
        <v>1</v>
      </c>
      <c r="Q15" t="s">
        <v>2</v>
      </c>
      <c r="R15" t="s">
        <v>8</v>
      </c>
      <c r="S15" t="s">
        <v>9</v>
      </c>
      <c r="T15" t="s">
        <v>10</v>
      </c>
      <c r="U15" t="s">
        <v>11</v>
      </c>
      <c r="V15" t="s">
        <v>12</v>
      </c>
      <c r="W15" t="s">
        <v>13</v>
      </c>
      <c r="X15" t="s">
        <v>23</v>
      </c>
      <c r="Y15" t="s">
        <v>28</v>
      </c>
    </row>
    <row r="16" spans="1:25" x14ac:dyDescent="0.25">
      <c r="O16" s="1">
        <v>46002</v>
      </c>
      <c r="P16" s="2">
        <v>100</v>
      </c>
      <c r="Q16" s="4" t="s">
        <v>3</v>
      </c>
      <c r="R16" s="3">
        <v>16</v>
      </c>
      <c r="S16" s="5">
        <v>0.57638888888888884</v>
      </c>
      <c r="T16" s="6">
        <v>0.5</v>
      </c>
      <c r="U16" s="7">
        <v>3255</v>
      </c>
      <c r="V16" t="s">
        <v>17</v>
      </c>
      <c r="W16" t="s">
        <v>14</v>
      </c>
      <c r="X16" s="4" t="s">
        <v>24</v>
      </c>
      <c r="Y16" t="s">
        <v>29</v>
      </c>
    </row>
    <row r="17" spans="15:25" x14ac:dyDescent="0.25">
      <c r="O17" s="1">
        <v>46001</v>
      </c>
      <c r="P17" s="2">
        <v>100.5</v>
      </c>
      <c r="Q17" s="4" t="s">
        <v>4</v>
      </c>
      <c r="R17" s="3">
        <v>3</v>
      </c>
      <c r="S17" s="5">
        <v>0.60555555555555551</v>
      </c>
      <c r="T17" s="6">
        <v>0.22900000000000001</v>
      </c>
      <c r="U17" s="7">
        <v>2342341</v>
      </c>
      <c r="V17" t="s">
        <v>18</v>
      </c>
      <c r="W17" t="s">
        <v>15</v>
      </c>
      <c r="X17" s="16" t="s">
        <v>25</v>
      </c>
      <c r="Y17" t="s">
        <v>30</v>
      </c>
    </row>
    <row r="18" spans="15:25" x14ac:dyDescent="0.25">
      <c r="O18" s="1">
        <v>46000</v>
      </c>
      <c r="P18" s="2">
        <v>200</v>
      </c>
      <c r="Q18" s="4" t="s">
        <v>5</v>
      </c>
      <c r="R18" s="3">
        <v>29</v>
      </c>
      <c r="S18" s="5">
        <v>0.35347222222222224</v>
      </c>
      <c r="T18" s="6">
        <v>0.64200000000000002</v>
      </c>
      <c r="U18" s="7">
        <v>4324</v>
      </c>
      <c r="V18" t="s">
        <v>19</v>
      </c>
      <c r="W18" t="s">
        <v>16</v>
      </c>
      <c r="X18" s="4" t="s">
        <v>26</v>
      </c>
      <c r="Y18" t="s">
        <v>31</v>
      </c>
    </row>
    <row r="19" spans="15:25" x14ac:dyDescent="0.25">
      <c r="O19" s="1">
        <v>45999</v>
      </c>
      <c r="P19" s="2">
        <v>190.75</v>
      </c>
      <c r="Q19" s="4" t="s">
        <v>6</v>
      </c>
      <c r="R19" s="3">
        <v>7</v>
      </c>
      <c r="S19" s="5">
        <v>0.25347222222222221</v>
      </c>
      <c r="T19" s="6">
        <v>0.88900000000000001</v>
      </c>
      <c r="U19" s="7">
        <v>43</v>
      </c>
      <c r="V19" t="s">
        <v>20</v>
      </c>
      <c r="W19" t="s">
        <v>22</v>
      </c>
      <c r="X19" s="4" t="s">
        <v>27</v>
      </c>
      <c r="Y19" t="s">
        <v>32</v>
      </c>
    </row>
    <row r="20" spans="15:25" x14ac:dyDescent="0.25">
      <c r="O20" s="1">
        <v>45998</v>
      </c>
      <c r="P20" s="2">
        <v>210</v>
      </c>
      <c r="Q20" s="4" t="s">
        <v>7</v>
      </c>
      <c r="R20" s="3">
        <v>33</v>
      </c>
      <c r="S20" s="5">
        <v>0.92500000000000004</v>
      </c>
      <c r="T20" s="6">
        <v>10</v>
      </c>
      <c r="U20" s="7">
        <v>0</v>
      </c>
      <c r="V20" t="s">
        <v>21</v>
      </c>
      <c r="W20" t="str">
        <f>CHAR(10)</f>
        <v xml:space="preserve">
</v>
      </c>
    </row>
    <row r="22" spans="15:25" x14ac:dyDescent="0.25">
      <c r="P22" s="2">
        <f>SUM(P16:P20)</f>
        <v>801.25</v>
      </c>
      <c r="R22" s="3">
        <f>SUM(R16:R20)</f>
        <v>88</v>
      </c>
      <c r="U22" s="2">
        <f>SUM(U16:U20)</f>
        <v>2349963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</vt:lpstr>
      <vt:lpstr>Sheet1</vt:lpstr>
      <vt:lpstr>two_blocks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West</dc:creator>
  <cp:lastModifiedBy>Nick West</cp:lastModifiedBy>
  <dcterms:created xsi:type="dcterms:W3CDTF">2025-12-19T05:16:01Z</dcterms:created>
  <dcterms:modified xsi:type="dcterms:W3CDTF">2025-12-25T04:08:36Z</dcterms:modified>
</cp:coreProperties>
</file>